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PS.local\CTXFolderRedirect\DGray\Desktop\"/>
    </mc:Choice>
  </mc:AlternateContent>
  <bookViews>
    <workbookView xWindow="-120" yWindow="-120" windowWidth="23820" windowHeight="9180" activeTab="4"/>
  </bookViews>
  <sheets>
    <sheet name="Inputs" sheetId="12" r:id="rId1"/>
    <sheet name="Pivot Summary" sheetId="14" state="hidden" r:id="rId2"/>
    <sheet name="Output" sheetId="10" r:id="rId3"/>
    <sheet name="Databases" sheetId="11" r:id="rId4"/>
    <sheet name="Query" sheetId="13" r:id="rId5"/>
    <sheet name="MedA-MgdCare Lookup" sheetId="15" state="hidden" r:id="rId6"/>
  </sheets>
  <functionGroups builtInGroupCount="18"/>
  <definedNames>
    <definedName name="DatabaseTable">Databases!$A$1:$B$15</definedName>
    <definedName name="ExternalData_1" localSheetId="0" hidden="1">Inputs!#REF!</definedName>
    <definedName name="ExternalData_1" localSheetId="2" hidden="1">Output!$A$1:$K$2</definedName>
    <definedName name="QueryCommand">Query!$A$3</definedName>
    <definedName name="ServerRef">Inputs!$B$2</definedName>
  </definedNames>
  <calcPr calcId="162913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6" i="13" l="1"/>
  <c r="A30" i="13"/>
  <c r="A74" i="13" l="1"/>
  <c r="A70" i="13"/>
  <c r="A58" i="13"/>
  <c r="A3" i="13" s="1"/>
  <c r="A3" i="14" l="1"/>
  <c r="A1" i="14"/>
</calcChain>
</file>

<file path=xl/connections.xml><?xml version="1.0" encoding="utf-8"?>
<connections xmlns="http://schemas.openxmlformats.org/spreadsheetml/2006/main">
  <connection id="1" name="FwReports" type="1" refreshedVersion="6" savePassword="1" background="1" saveData="1">
    <dbPr connection="DRIVER=SQL Server;SERVER=TXSQL;UID=DGray;Trusted_Connection=Yes;APP=Excel Reporting;WSID=CTXTS10;DATABASE=FwReports" command="SELECT b.[RxNo], b.[CustomerNo] as 'CustID', b.[MOP], convert(varchar(16), case when b.[payor] = 1 then 'Primary' when b.[payor] = 2 then 'Secondary' else 'Other' end) as 'Priority', convert(Datetime, c.[submitted]) as 'Claim Date', b.[InvoiceNo] as 'Invoice', convert(Date, b.[billed]) as 'Invoice Date', b.[dispensedt] as 'Dispense Date', b.[billamt] as 'Amount Billed', b.[payamt] as 'Amount Paid', b.[facid] as 'FacID' FROM ( SELECT ba.[rxno], ba.[customerno], ba.[MOP], ba.[payor], ba.[invoiceno], ba.[billed], ba.[facid], ba.[pharmid], ba.[dispensedt], ba.[billamt], ba.[payamt] FROM [fwarchive].[dbo].[billing] ba WHERE ba.[rxno] = '5' UNION SELECT br.[rxno], br.[customerno], br.[MOP], br.[payor], br.[invoiceno], br.[billed], br.[facid], br.[pharmid], br.[dispensedt], br.[billamt], br.[payamt] FROM [fwdb].[rx].[Billing] br WHERE br.[rxno] = '5') b LEFT JOIN ( SELECT cp.[rxno], cp.[facid], cp.[pharmid], cp.[dispensedt], cp.[submitted], cp.[insid], cp.[rspstatus] FROM [fwdb].[pharm].[ecshistory] cp WHERE cp.rxno = '5' AND (cp.[rspstatus] = 'A' or cp.[rspstatus] = 'P') UNION SELECT ca.[rxno], ca.[facid], ca.[pharmid], ca.[dispensedt], ca.[submitted], ca.[insid], ca.[rspstatus] FROM [fwarchive].[dbo].[ecshistory] ca WHERE ca.rxno = '5' AND (ca.[rspstatus] = 'A' or ca.[rspstatus] = 'P')) c on c.rxno = b.rxno and c.facid = b.facid and c.pharmid = b.pharmid and c.dispensedt = b.dispensedt and c.insid = b.mop WHERE b.rxno = '5'  order by b.rxno desc, 'Claim Date' desc, 'Invoice' desc"/>
  </connection>
</connections>
</file>

<file path=xl/sharedStrings.xml><?xml version="1.0" encoding="utf-8"?>
<sst xmlns="http://schemas.openxmlformats.org/spreadsheetml/2006/main" count="135" uniqueCount="123">
  <si>
    <t>MOP</t>
  </si>
  <si>
    <t>RxNo</t>
  </si>
  <si>
    <t>SQL125NJ1\SQL125NJ1</t>
  </si>
  <si>
    <t>SQL125CT1\SQL125CT1</t>
  </si>
  <si>
    <t>SQL125MA1\SQL125MA1</t>
  </si>
  <si>
    <t>SQL125PA1\SQL125PA1</t>
  </si>
  <si>
    <t>Input Values</t>
  </si>
  <si>
    <t>Server to query</t>
  </si>
  <si>
    <t>Query goes in the cell A3 below. Use a formula based on inputs on the Inputs sheet.</t>
  </si>
  <si>
    <t>ANTHEM</t>
  </si>
  <si>
    <t>CIGNA</t>
  </si>
  <si>
    <t>HUMANA</t>
  </si>
  <si>
    <t>MCARE</t>
  </si>
  <si>
    <t>UHS</t>
  </si>
  <si>
    <t>MGCARE</t>
  </si>
  <si>
    <t>VET</t>
  </si>
  <si>
    <t>MNS</t>
  </si>
  <si>
    <t>Code</t>
  </si>
  <si>
    <t>Type</t>
  </si>
  <si>
    <t>MgdCare</t>
  </si>
  <si>
    <t>MedA</t>
  </si>
  <si>
    <t>MEDA</t>
  </si>
  <si>
    <t>Facility Billing Query</t>
  </si>
  <si>
    <t>SQL125NJ2\SQL125NJ2</t>
  </si>
  <si>
    <t>New York (NY1) -- Inactive</t>
  </si>
  <si>
    <t>Discover Rx (NJ2) -- Inactive</t>
  </si>
  <si>
    <t>SQL125NY1\SQL125NY1</t>
  </si>
  <si>
    <t>Missouri (MO1) -- Inactive</t>
  </si>
  <si>
    <t>SQL125MO1\SQL125MO1</t>
  </si>
  <si>
    <t>TXSQL</t>
  </si>
  <si>
    <t>FLSQL</t>
  </si>
  <si>
    <t>MDSQL</t>
  </si>
  <si>
    <t>Connecticut</t>
  </si>
  <si>
    <t>Texas</t>
  </si>
  <si>
    <t>Florida</t>
  </si>
  <si>
    <t>Connecticut (Kodiak)</t>
  </si>
  <si>
    <t>CTSQL</t>
  </si>
  <si>
    <t>Maryland</t>
  </si>
  <si>
    <t>Massachusetts</t>
  </si>
  <si>
    <t>MASQL</t>
  </si>
  <si>
    <t>New Jersey</t>
  </si>
  <si>
    <t>NJSQL</t>
  </si>
  <si>
    <t>Pennsylvania</t>
  </si>
  <si>
    <t>PASQL</t>
  </si>
  <si>
    <t>Massachusetts (Kodiak)</t>
  </si>
  <si>
    <t>New Jersey (Kodiak)</t>
  </si>
  <si>
    <t>Pennsylvania (Kodiak)</t>
  </si>
  <si>
    <t>Virginia</t>
  </si>
  <si>
    <t>VASQL</t>
  </si>
  <si>
    <t>CustID</t>
  </si>
  <si>
    <t>Priority</t>
  </si>
  <si>
    <t>Claim Date</t>
  </si>
  <si>
    <t>Invoice</t>
  </si>
  <si>
    <t>SELECT b.[RxNo]</t>
  </si>
  <si>
    <t>, b.[MOP]</t>
  </si>
  <si>
    <t>, b.[InvoiceNo] as 'Invoice'</t>
  </si>
  <si>
    <t>, convert(Date, b.[billed]) as 'Invoice Date'</t>
  </si>
  <si>
    <t>, convert(varchar(16), case when b.[payor] = 1 then 'Primary' when b.[payor] = 2 then 'Secondary' else 'Other' end) as 'Priority'</t>
  </si>
  <si>
    <t xml:space="preserve"> WHERE b.rxno = '</t>
  </si>
  <si>
    <t>Invoice Date</t>
  </si>
  <si>
    <t xml:space="preserve"> LEFT JOIN (</t>
  </si>
  <si>
    <t xml:space="preserve"> UNION</t>
  </si>
  <si>
    <t xml:space="preserve">  order by b.rxno desc, 'Claim Date' desc, 'Invoice' desc</t>
  </si>
  <si>
    <t>, convert(Datetime, c.[submitted]) as 'Claim Date'</t>
  </si>
  <si>
    <t>) c on c.rxno = b.rxno and c.facid = b.facid and c.pharmid = b.pharmid and c.dispensedt = b.dispensedt and c.insid = b.mop</t>
  </si>
  <si>
    <t>, ba.[customerno]</t>
  </si>
  <si>
    <t>, ba.[MOP]</t>
  </si>
  <si>
    <t>, ba.[payor]</t>
  </si>
  <si>
    <t>, ba.[invoiceno]</t>
  </si>
  <si>
    <t>, ba.[billed]</t>
  </si>
  <si>
    <t xml:space="preserve"> FROM [fwarchive].[dbo].[billing] ba</t>
  </si>
  <si>
    <t xml:space="preserve"> WHERE ba.[rxno] = '</t>
  </si>
  <si>
    <t>'</t>
  </si>
  <si>
    <t xml:space="preserve"> FROM ( SELECT ba.[rxno]</t>
  </si>
  <si>
    <t>, br.[customerno]</t>
  </si>
  <si>
    <t>, br.[MOP]</t>
  </si>
  <si>
    <t>, br.[payor]</t>
  </si>
  <si>
    <t>, br.[invoiceno]</t>
  </si>
  <si>
    <t>, br.[billed]</t>
  </si>
  <si>
    <t xml:space="preserve"> WHERE br.[rxno] = '</t>
  </si>
  <si>
    <t>') b</t>
  </si>
  <si>
    <t xml:space="preserve"> SELECT br.[rxno]</t>
  </si>
  <si>
    <t xml:space="preserve"> FROM [fwdb].[rx].[Billing] br</t>
  </si>
  <si>
    <t xml:space="preserve"> SELECT cp.[rxno]</t>
  </si>
  <si>
    <t>, cp.[facid]</t>
  </si>
  <si>
    <t>, cp.[pharmid]</t>
  </si>
  <si>
    <t>, cp.[dispensedt]</t>
  </si>
  <si>
    <t>, cp.[submitted]</t>
  </si>
  <si>
    <t>, cp.[insid]</t>
  </si>
  <si>
    <t>, cp.[rspstatus]</t>
  </si>
  <si>
    <t xml:space="preserve"> FROM [fwdb].[pharm].[ecshistory] cp</t>
  </si>
  <si>
    <t xml:space="preserve"> WHERE cp.rxno = '</t>
  </si>
  <si>
    <t>' AND (cp.[rspstatus] = 'A' or cp.[rspstatus] = 'P')</t>
  </si>
  <si>
    <t xml:space="preserve"> SELECT ca.[rxno]</t>
  </si>
  <si>
    <t>, ca.[facid]</t>
  </si>
  <si>
    <t>, ca.[pharmid]</t>
  </si>
  <si>
    <t>, ca.[dispensedt]</t>
  </si>
  <si>
    <t>, ca.[submitted]</t>
  </si>
  <si>
    <t>, ca.[insid]</t>
  </si>
  <si>
    <t>, ca.[rspstatus]</t>
  </si>
  <si>
    <t xml:space="preserve"> FROM [fwarchive].[dbo].[ecshistory] ca</t>
  </si>
  <si>
    <t xml:space="preserve"> WHERE ca.rxno = '</t>
  </si>
  <si>
    <t>' AND (ca.[rspstatus] = 'A' or ca.[rspstatus] = 'P')</t>
  </si>
  <si>
    <t>, ba.[facid]</t>
  </si>
  <si>
    <t>, ba.[pharmid]</t>
  </si>
  <si>
    <t>, ba.[dispensedt]</t>
  </si>
  <si>
    <t>, br.[facid]</t>
  </si>
  <si>
    <t>, br.[pharmid]</t>
  </si>
  <si>
    <t>, br.[dispensedt]</t>
  </si>
  <si>
    <t>, b.[CustomerNo] as 'CustID'</t>
  </si>
  <si>
    <t>, br.[billamt]</t>
  </si>
  <si>
    <t>, br.[payamt]</t>
  </si>
  <si>
    <t>, ba.[payamt]</t>
  </si>
  <si>
    <t>, ba.[billamt]</t>
  </si>
  <si>
    <t>, b.[payamt] as 'Amount Paid'</t>
  </si>
  <si>
    <t>, b.[billamt] as 'Amount Billed'</t>
  </si>
  <si>
    <t>Amount Billed</t>
  </si>
  <si>
    <t>Amount Paid</t>
  </si>
  <si>
    <t>, b.[dispensedt] as 'Dispense Date'</t>
  </si>
  <si>
    <t>, b.[facid] as 'FacID'</t>
  </si>
  <si>
    <t>Dispense Date</t>
  </si>
  <si>
    <t>FacID</t>
  </si>
  <si>
    <t>Report made by Donnie Gray gdonaldgray@gmail.com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</si>
</sst>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;[Red]0"/>
    <numFmt numFmtId="165" formatCode="[$-409]d\-mmm\-yy;@"/>
    <numFmt numFmtId="166" formatCode="[$-409]m/d/yy\ h:mm\ AM/PM;@"/>
  </numFmts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sz val="9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/>
      <top/>
      <bottom/>
      <diagonal/>
    </border>
  </borders>
  <cellStyleXfs count="8">
    <xf numFmtId="0" fontId="0" fillId="0" borderId="0"/>
    <xf numFmtId="44" fontId="3" fillId="0" borderId="0" applyFont="0" applyFill="0" applyBorder="0" applyAlignment="0" applyProtection="0"/>
    <xf numFmtId="0" fontId="2" fillId="0" borderId="0"/>
    <xf numFmtId="0" fontId="4" fillId="0" borderId="0"/>
    <xf numFmtId="0" fontId="3" fillId="0" borderId="0"/>
    <xf numFmtId="43" fontId="6" fillId="0" borderId="0" applyFont="0" applyFill="0" applyBorder="0" applyAlignment="0" applyProtection="0"/>
    <xf numFmtId="0" fontId="7" fillId="2" borderId="1" applyNumberFormat="0" applyAlignment="0" applyProtection="0"/>
    <xf numFmtId="44" fontId="6" fillId="0" borderId="0" applyFont="0" applyFill="0" applyBorder="0" applyAlignment="0" applyProtection="0"/>
  </cellStyleXfs>
  <cellXfs count="32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2" fillId="2" borderId="1" xfId="6" applyNumberFormat="1" applyFont="1"/>
    <xf numFmtId="0" fontId="8" fillId="0" borderId="0" xfId="0" applyFont="1"/>
    <xf numFmtId="0" fontId="8" fillId="0" borderId="0" xfId="0" applyFont="1" applyAlignment="1">
      <alignment horizontal="center"/>
    </xf>
    <xf numFmtId="14" fontId="2" fillId="0" borderId="0" xfId="0" quotePrefix="1" applyNumberFormat="1" applyFont="1"/>
    <xf numFmtId="0" fontId="2" fillId="0" borderId="0" xfId="6" applyNumberFormat="1" applyFont="1" applyFill="1" applyBorder="1"/>
    <xf numFmtId="0" fontId="9" fillId="0" borderId="0" xfId="0" applyFont="1"/>
    <xf numFmtId="43" fontId="2" fillId="0" borderId="0" xfId="5" applyFont="1" applyFill="1"/>
    <xf numFmtId="0" fontId="2" fillId="0" borderId="0" xfId="0" applyNumberFormat="1" applyFont="1" applyFill="1"/>
    <xf numFmtId="49" fontId="2" fillId="0" borderId="0" xfId="0" applyNumberFormat="1" applyFont="1"/>
    <xf numFmtId="164" fontId="2" fillId="0" borderId="0" xfId="0" applyNumberFormat="1" applyFont="1"/>
    <xf numFmtId="164" fontId="2" fillId="0" borderId="0" xfId="0" applyNumberFormat="1" applyFont="1" applyFill="1"/>
    <xf numFmtId="0" fontId="2" fillId="0" borderId="0" xfId="7" applyNumberFormat="1" applyFont="1" applyFill="1"/>
    <xf numFmtId="0" fontId="2" fillId="0" borderId="0" xfId="0" quotePrefix="1" applyFont="1"/>
    <xf numFmtId="14" fontId="7" fillId="2" borderId="1" xfId="6" applyNumberFormat="1" applyAlignment="1">
      <alignment horizontal="left"/>
    </xf>
    <xf numFmtId="165" fontId="2" fillId="0" borderId="0" xfId="0" applyNumberFormat="1" applyFont="1" applyAlignment="1">
      <alignment horizontal="left"/>
    </xf>
    <xf numFmtId="165" fontId="2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left"/>
    </xf>
    <xf numFmtId="166" fontId="2" fillId="0" borderId="0" xfId="0" applyNumberFormat="1" applyFont="1" applyFill="1" applyAlignment="1">
      <alignment horizontal="left"/>
    </xf>
    <xf numFmtId="44" fontId="8" fillId="0" borderId="0" xfId="0" applyNumberFormat="1" applyFont="1"/>
    <xf numFmtId="49" fontId="2" fillId="0" borderId="0" xfId="0" applyNumberFormat="1" applyFont="1" applyAlignment="1">
      <alignment horizontal="left"/>
    </xf>
    <xf numFmtId="49" fontId="2" fillId="0" borderId="0" xfId="0" applyNumberFormat="1" applyFont="1" applyFill="1" applyAlignment="1">
      <alignment horizontal="left"/>
    </xf>
    <xf numFmtId="0" fontId="2" fillId="0" borderId="0" xfId="0" applyNumberFormat="1" applyFont="1" applyFill="1" applyAlignment="1">
      <alignment horizontal="left"/>
    </xf>
    <xf numFmtId="49" fontId="2" fillId="2" borderId="1" xfId="6" applyNumberFormat="1" applyFont="1" applyAlignment="1">
      <alignment horizontal="left"/>
    </xf>
    <xf numFmtId="40" fontId="2" fillId="0" borderId="0" xfId="0" applyNumberFormat="1" applyFont="1" applyAlignment="1">
      <alignment horizontal="right"/>
    </xf>
    <xf numFmtId="40" fontId="2" fillId="0" borderId="0" xfId="0" applyNumberFormat="1" applyFont="1" applyFill="1" applyAlignment="1">
      <alignment horizontal="right"/>
    </xf>
    <xf numFmtId="49" fontId="1" fillId="2" borderId="1" xfId="6" applyNumberFormat="1" applyFont="1" applyAlignment="1">
      <alignment vertical="top" wrapText="1" readingOrder="1"/>
    </xf>
    <xf numFmtId="0" fontId="5" fillId="3" borderId="2" xfId="0" applyFont="1" applyFill="1" applyBorder="1" applyAlignment="1">
      <alignment horizontal="center"/>
    </xf>
    <xf numFmtId="0" fontId="0" fillId="0" borderId="3" xfId="0" applyBorder="1" applyAlignment="1">
      <alignment vertical="center" wrapText="1"/>
    </xf>
    <xf numFmtId="0" fontId="0" fillId="0" borderId="0" xfId="0" applyAlignment="1">
      <alignment wrapText="1"/>
    </xf>
  </cellXfs>
  <cellStyles count="8">
    <cellStyle name="Comma" xfId="5" builtinId="3"/>
    <cellStyle name="Currency" xfId="7" builtinId="4"/>
    <cellStyle name="Currency 2" xfId="1"/>
    <cellStyle name="Input" xfId="6" builtinId="20"/>
    <cellStyle name="Normal" xfId="0" builtinId="0"/>
    <cellStyle name="Normal 2" xfId="2"/>
    <cellStyle name="Normal 3" xfId="3"/>
    <cellStyle name="Normal 4" xfId="4"/>
  </cellStyles>
  <dxfs count="23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8" formatCode="#,##0.00_);[Red]\(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8" formatCode="#,##0.00_);[Red]\(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[$-409]m/d/yy\ h:mm\ AM/PM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[$-409]d\-mmm\-yy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;[Red]0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alignment horizontal="center" readingOrder="0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4" formatCode="_(&quot;$&quot;* #,##0.00_);_(&quot;$&quot;* \(#,##0.00\);_(&quot;$&quot;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13</xdr:row>
          <xdr:rowOff>0</xdr:rowOff>
        </xdr:from>
        <xdr:to>
          <xdr:col>1</xdr:col>
          <xdr:colOff>723900</xdr:colOff>
          <xdr:row>15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Query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onnie Gray" refreshedDate="45495.536722916666" createdVersion="5" refreshedVersion="6" minRefreshableVersion="3" recordCount="4">
  <cacheSource type="worksheet">
    <worksheetSource name="Table_ExternalData_1"/>
  </cacheSource>
  <cacheFields count="11">
    <cacheField name="RxNo" numFmtId="0">
      <sharedItems containsSemiMixedTypes="0" containsString="0" containsNumber="1" containsInteger="1" minValue="21554087" maxValue="21554087"/>
    </cacheField>
    <cacheField name="CustID" numFmtId="0">
      <sharedItems/>
    </cacheField>
    <cacheField name="MOP" numFmtId="0">
      <sharedItems/>
    </cacheField>
    <cacheField name="Priority" numFmtId="0">
      <sharedItems/>
    </cacheField>
    <cacheField name="Claim Date" numFmtId="165">
      <sharedItems containsNonDate="0" containsDate="1" containsString="0" containsBlank="1" minDate="2024-01-26T12:13:29" maxDate="2024-01-26T12:13:29"/>
    </cacheField>
    <cacheField name="Invoice" numFmtId="0">
      <sharedItems/>
    </cacheField>
    <cacheField name="Invoice Date" numFmtId="0">
      <sharedItems/>
    </cacheField>
    <cacheField name="Dispense Date" numFmtId="165">
      <sharedItems containsSemiMixedTypes="0" containsNonDate="0" containsDate="1" containsString="0" minDate="2024-01-02T00:00:00" maxDate="2024-01-03T00:00:00"/>
    </cacheField>
    <cacheField name="Amount Billed" numFmtId="0">
      <sharedItems containsSemiMixedTypes="0" containsString="0" containsNumber="1" minValue="-10.77" maxValue="10.77"/>
    </cacheField>
    <cacheField name="Amount Paid" numFmtId="0">
      <sharedItems containsString="0" containsBlank="1" containsNumber="1" minValue="5.94" maxValue="5.94"/>
    </cacheField>
    <cacheField name="FacI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n v="21554087"/>
    <s v="DCIM"/>
    <s v="DCIM"/>
    <s v="Primary"/>
    <d v="2024-01-26T12:13:29"/>
    <s v="IN000433596"/>
    <s v="2024-01-25"/>
    <d v="2024-01-02T00:00:00"/>
    <n v="5.94"/>
    <n v="5.94"/>
    <s v="HOU081"/>
  </r>
  <r>
    <n v="21554087"/>
    <s v="216206"/>
    <s v="PRIV"/>
    <s v="Primary"/>
    <m/>
    <s v="IN000433580"/>
    <s v="2024-01-25"/>
    <d v="2024-01-02T00:00:00"/>
    <n v="-10.77"/>
    <m/>
    <s v="HOU081"/>
  </r>
  <r>
    <n v="21554087"/>
    <s v="216206"/>
    <s v="PRIV"/>
    <s v="Primary"/>
    <m/>
    <s v="IN000433580"/>
    <s v="2024-01-25"/>
    <d v="2024-01-02T00:00:00"/>
    <n v="10.77"/>
    <m/>
    <s v="HOU081"/>
  </r>
  <r>
    <n v="21554087"/>
    <s v="216206"/>
    <s v="PRIV"/>
    <s v="Other"/>
    <m/>
    <s v="IN000433580"/>
    <s v="2024-01-25"/>
    <d v="2024-01-02T00:00:00"/>
    <n v="6.38"/>
    <m/>
    <s v="HOU08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missingCaption="0" updatedVersion="6" minRefreshableVersion="3" itemPrintTitles="1" createdVersion="5" indent="0" compact="0" compactData="0" gridDropZones="1" multipleFieldFilters="0">
  <location ref="A6:G19" firstHeaderRow="1" firstDataRow="1" firstDataCol="1"/>
  <pivotFields count="11"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65" outline="0" showAll="0" defaultSubtotal="0"/>
    <pivotField compact="0" numFmtId="40" outline="0" showAll="0" defaultSubtotal="0"/>
    <pivotField compact="0" outline="0" showAll="0" defaultSubtotal="0"/>
    <pivotField compact="0" outline="0" showAll="0" defaultSubtotal="0"/>
  </pivotFields>
  <formats count="10">
    <format dxfId="22">
      <pivotArea outline="0" collapsedLevelsAreSubtotals="1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grandRow="1" outline="0" fieldPosition="0"/>
    </format>
    <format dxfId="18">
      <pivotArea dataOnly="0" labelOnly="1" grandCol="1" outline="0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dataOnly="0" labelOnly="1" grandRow="1" outline="0" fieldPosition="0"/>
    </format>
    <format dxfId="14">
      <pivotArea dataOnly="0" labelOnly="1" grandCol="1" outline="0" fieldPosition="0"/>
    </format>
    <format dxfId="13">
      <pivotArea dataOnly="0" labelOnly="1" grandCol="1" outline="0" fieldPosition="0"/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RxNo" tableColumnId="12"/>
      <queryTableField id="2" name="CustID" tableColumnId="13"/>
      <queryTableField id="3" name="MOP" tableColumnId="14"/>
      <queryTableField id="4" name="Priority" tableColumnId="15"/>
      <queryTableField id="5" name="Claim Date" tableColumnId="16"/>
      <queryTableField id="6" name="Invoice" tableColumnId="17"/>
      <queryTableField id="7" name="Invoice Date" tableColumnId="18"/>
      <queryTableField id="8" name="Dispense Date" tableColumnId="19"/>
      <queryTableField id="9" name="Amount Billed" tableColumnId="20"/>
      <queryTableField id="10" name="Amount Paid" tableColumnId="21"/>
      <queryTableField id="11" name="FacID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ExternalData_1" displayName="Table_ExternalData_1" ref="A1:K2" tableType="queryTable" insertRow="1" totalsRowShown="0" headerRowDxfId="12" dataDxfId="11">
  <autoFilter ref="A1:K2"/>
  <sortState ref="A2:W2">
    <sortCondition ref="F2"/>
  </sortState>
  <tableColumns count="11">
    <tableColumn id="12" uniqueName="12" name="RxNo" queryTableFieldId="1" dataDxfId="10"/>
    <tableColumn id="13" uniqueName="13" name="CustID" queryTableFieldId="2" dataDxfId="9"/>
    <tableColumn id="14" uniqueName="14" name="MOP" queryTableFieldId="3" dataDxfId="8"/>
    <tableColumn id="15" uniqueName="15" name="Priority" queryTableFieldId="4" dataDxfId="7"/>
    <tableColumn id="16" uniqueName="16" name="Claim Date" queryTableFieldId="5" dataDxfId="6"/>
    <tableColumn id="17" uniqueName="17" name="Invoice" queryTableFieldId="6" dataDxfId="5"/>
    <tableColumn id="18" uniqueName="18" name="Invoice Date" queryTableFieldId="7" dataDxfId="4"/>
    <tableColumn id="19" uniqueName="19" name="Dispense Date" queryTableFieldId="8" dataDxfId="3"/>
    <tableColumn id="20" uniqueName="20" name="Amount Billed" queryTableFieldId="9" dataDxfId="2"/>
    <tableColumn id="21" uniqueName="21" name="Amount Paid" queryTableFieldId="10" dataDxfId="1"/>
    <tableColumn id="22" uniqueName="22" name="FacID" queryTableFieldId="11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1"/>
  <sheetViews>
    <sheetView workbookViewId="0">
      <selection activeCell="B5" sqref="B5"/>
    </sheetView>
  </sheetViews>
  <sheetFormatPr defaultColWidth="9.140625" defaultRowHeight="12.75" x14ac:dyDescent="0.2"/>
  <cols>
    <col min="1" max="1" width="16.5703125" style="1" customWidth="1"/>
    <col min="2" max="2" width="23" style="1" customWidth="1"/>
    <col min="3" max="3" width="8" style="1" customWidth="1"/>
    <col min="4" max="4" width="24.42578125" style="2" customWidth="1"/>
    <col min="5" max="16384" width="9.140625" style="1"/>
  </cols>
  <sheetData>
    <row r="1" spans="1:2" x14ac:dyDescent="0.2">
      <c r="A1" s="29" t="s">
        <v>7</v>
      </c>
      <c r="B1" s="29"/>
    </row>
    <row r="2" spans="1:2" x14ac:dyDescent="0.2">
      <c r="A2" s="3" t="s">
        <v>7</v>
      </c>
      <c r="B2" s="3" t="s">
        <v>33</v>
      </c>
    </row>
    <row r="4" spans="1:2" x14ac:dyDescent="0.2">
      <c r="A4" s="29" t="s">
        <v>6</v>
      </c>
      <c r="B4" s="29"/>
    </row>
    <row r="5" spans="1:2" ht="15" x14ac:dyDescent="0.2">
      <c r="A5" s="3" t="s">
        <v>1</v>
      </c>
      <c r="B5" s="28"/>
    </row>
    <row r="6" spans="1:2" ht="15" x14ac:dyDescent="0.25">
      <c r="A6" s="3"/>
      <c r="B6" s="16"/>
    </row>
    <row r="7" spans="1:2" x14ac:dyDescent="0.2">
      <c r="A7" s="3"/>
      <c r="B7" s="25"/>
    </row>
    <row r="9" spans="1:2" x14ac:dyDescent="0.2">
      <c r="A9" s="7"/>
    </row>
    <row r="10" spans="1:2" ht="18" x14ac:dyDescent="0.25">
      <c r="A10" s="7"/>
      <c r="B10" s="8"/>
    </row>
    <row r="11" spans="1:2" x14ac:dyDescent="0.2">
      <c r="A11" s="7"/>
    </row>
  </sheetData>
  <mergeCells count="2">
    <mergeCell ref="A4:B4"/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ExecuteQuery">
                <anchor moveWithCells="1" sizeWithCells="1">
                  <from>
                    <xdr:col>0</xdr:col>
                    <xdr:colOff>514350</xdr:colOff>
                    <xdr:row>13</xdr:row>
                    <xdr:rowOff>0</xdr:rowOff>
                  </from>
                  <to>
                    <xdr:col>1</xdr:col>
                    <xdr:colOff>723900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Databases!$A$1:$A$15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J77"/>
  <sheetViews>
    <sheetView workbookViewId="0">
      <selection activeCell="C12" sqref="C12"/>
    </sheetView>
  </sheetViews>
  <sheetFormatPr defaultColWidth="9.140625" defaultRowHeight="12" x14ac:dyDescent="0.2"/>
  <cols>
    <col min="1" max="1" width="32.140625" style="4" bestFit="1" customWidth="1"/>
    <col min="2" max="2" width="10.85546875" style="4" bestFit="1" customWidth="1"/>
    <col min="3" max="3" width="12.42578125" style="4" bestFit="1" customWidth="1"/>
    <col min="4" max="4" width="11.42578125" style="4" bestFit="1" customWidth="1"/>
    <col min="5" max="5" width="10.42578125" style="4" bestFit="1" customWidth="1"/>
    <col min="6" max="6" width="11.42578125" style="4" bestFit="1" customWidth="1"/>
    <col min="7" max="8" width="10.28515625" style="4" bestFit="1" customWidth="1"/>
    <col min="9" max="9" width="11" style="4" bestFit="1" customWidth="1"/>
    <col min="10" max="10" width="10.42578125" style="4" bestFit="1" customWidth="1"/>
    <col min="11" max="11" width="10.28515625" style="4" bestFit="1" customWidth="1"/>
    <col min="12" max="12" width="10.42578125" style="4" bestFit="1" customWidth="1"/>
    <col min="13" max="13" width="12.42578125" style="4" bestFit="1" customWidth="1"/>
    <col min="14" max="17" width="13" style="4" customWidth="1"/>
    <col min="18" max="18" width="13" style="4" bestFit="1" customWidth="1"/>
    <col min="19" max="19" width="11.7109375" style="4" bestFit="1" customWidth="1"/>
    <col min="20" max="16384" width="9.140625" style="4"/>
  </cols>
  <sheetData>
    <row r="1" spans="1:36" x14ac:dyDescent="0.2">
      <c r="A1" s="4" t="str">
        <f>Inputs!$B$2</f>
        <v>Texas</v>
      </c>
    </row>
    <row r="2" spans="1:36" x14ac:dyDescent="0.2">
      <c r="A2" s="4" t="s">
        <v>22</v>
      </c>
    </row>
    <row r="3" spans="1:36" x14ac:dyDescent="0.2">
      <c r="A3" s="4" t="str">
        <f>"For the period billed from "&amp;TEXT(Inputs!B5,"mm-dd-yyyy")&amp;" to "&amp;TEXT(Inputs!B6,"mm-dd-yyyy")</f>
        <v>For the period billed from 01-00-1900 to 01-00-1900</v>
      </c>
    </row>
    <row r="6" spans="1:36" ht="12.75" x14ac:dyDescent="0.2"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</row>
    <row r="7" spans="1:36" s="5" customFormat="1" ht="12.75" x14ac:dyDescent="0.2">
      <c r="A7" s="4"/>
      <c r="B7" s="21"/>
      <c r="C7" s="21"/>
      <c r="D7" s="21"/>
      <c r="E7" s="21"/>
      <c r="F7" s="21"/>
      <c r="G7" s="21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</row>
    <row r="8" spans="1:36" ht="12.75" x14ac:dyDescent="0.2">
      <c r="B8" s="21"/>
      <c r="C8" s="21"/>
      <c r="D8" s="21"/>
      <c r="E8" s="21"/>
      <c r="F8" s="21"/>
      <c r="G8" s="21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</row>
    <row r="9" spans="1:36" ht="12.75" x14ac:dyDescent="0.2">
      <c r="B9" s="21"/>
      <c r="C9" s="21"/>
      <c r="D9" s="21"/>
      <c r="E9" s="21"/>
      <c r="F9" s="21"/>
      <c r="G9" s="21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</row>
    <row r="10" spans="1:36" ht="12.75" x14ac:dyDescent="0.2">
      <c r="B10" s="21"/>
      <c r="C10" s="21"/>
      <c r="D10" s="21"/>
      <c r="E10" s="21"/>
      <c r="F10" s="21"/>
      <c r="G10" s="21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</row>
    <row r="11" spans="1:36" ht="12.75" x14ac:dyDescent="0.2">
      <c r="B11" s="21"/>
      <c r="C11" s="21"/>
      <c r="D11" s="21"/>
      <c r="E11" s="21"/>
      <c r="F11" s="21"/>
      <c r="G11" s="2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</row>
    <row r="12" spans="1:36" ht="12.75" x14ac:dyDescent="0.2">
      <c r="B12" s="21"/>
      <c r="C12" s="21"/>
      <c r="D12" s="21"/>
      <c r="E12" s="21"/>
      <c r="F12" s="21"/>
      <c r="G12" s="21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</row>
    <row r="13" spans="1:36" ht="12.75" x14ac:dyDescent="0.2">
      <c r="B13" s="21"/>
      <c r="C13" s="21"/>
      <c r="D13" s="21"/>
      <c r="E13" s="21"/>
      <c r="F13" s="21"/>
      <c r="G13" s="21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</row>
    <row r="14" spans="1:36" ht="12.75" x14ac:dyDescent="0.2">
      <c r="B14" s="21"/>
      <c r="C14" s="21"/>
      <c r="D14" s="21"/>
      <c r="E14" s="21"/>
      <c r="F14" s="21"/>
      <c r="G14" s="21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1:36" ht="12.75" x14ac:dyDescent="0.2">
      <c r="B15" s="21"/>
      <c r="C15" s="21"/>
      <c r="D15" s="21"/>
      <c r="E15" s="21"/>
      <c r="F15" s="21"/>
      <c r="G15" s="21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1:36" ht="12.75" x14ac:dyDescent="0.2">
      <c r="B16" s="21"/>
      <c r="C16" s="21"/>
      <c r="D16" s="21"/>
      <c r="E16" s="21"/>
      <c r="F16" s="21"/>
      <c r="G16" s="21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36" ht="12.75" x14ac:dyDescent="0.2">
      <c r="B17" s="21"/>
      <c r="C17" s="21"/>
      <c r="D17" s="21"/>
      <c r="E17" s="21"/>
      <c r="F17" s="21"/>
      <c r="G17" s="21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  <row r="18" spans="1:36" ht="12.75" x14ac:dyDescent="0.2">
      <c r="B18" s="21"/>
      <c r="C18" s="21"/>
      <c r="D18" s="21"/>
      <c r="E18" s="21"/>
      <c r="F18" s="21"/>
      <c r="G18" s="21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</row>
    <row r="19" spans="1:36" ht="12.75" x14ac:dyDescent="0.2">
      <c r="B19" s="21"/>
      <c r="C19" s="21"/>
      <c r="D19" s="21"/>
      <c r="E19" s="21"/>
      <c r="F19" s="21"/>
      <c r="G19" s="21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</row>
    <row r="20" spans="1:36" ht="12.75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</row>
    <row r="21" spans="1:36" ht="12.75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</row>
    <row r="22" spans="1:36" ht="12.75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</row>
    <row r="23" spans="1:36" ht="12.75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</row>
    <row r="24" spans="1:36" ht="12.75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</row>
    <row r="25" spans="1:36" ht="12.75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</row>
    <row r="26" spans="1:36" ht="12.75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</row>
    <row r="27" spans="1:36" ht="12.75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</row>
    <row r="28" spans="1:36" ht="12.75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</row>
    <row r="29" spans="1:36" ht="12.75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</row>
    <row r="30" spans="1:36" ht="12.75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</row>
    <row r="31" spans="1:36" ht="12.75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</row>
    <row r="32" spans="1:36" ht="12.75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</row>
    <row r="33" spans="1:36" ht="12.75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</row>
    <row r="34" spans="1:36" ht="12.75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</row>
    <row r="35" spans="1:36" ht="12.75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</row>
    <row r="36" spans="1:36" ht="12.75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1:36" ht="12.75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 ht="12.75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</row>
    <row r="39" spans="1:36" ht="12.75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</row>
    <row r="40" spans="1:36" ht="12.75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</row>
    <row r="41" spans="1:36" ht="12.75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</row>
    <row r="42" spans="1:36" ht="12.75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</row>
    <row r="43" spans="1:36" ht="12.75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</row>
    <row r="44" spans="1:36" ht="12.75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</row>
    <row r="45" spans="1:36" ht="12.75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</row>
    <row r="46" spans="1:36" ht="12.75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</row>
    <row r="47" spans="1:36" ht="12.75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</row>
    <row r="48" spans="1:36" ht="12.75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</row>
    <row r="49" spans="1:36" ht="12.75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</row>
    <row r="50" spans="1:36" ht="12.75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</row>
    <row r="51" spans="1:36" ht="12.75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</row>
    <row r="52" spans="1:36" ht="12.75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</row>
    <row r="53" spans="1:36" ht="12.75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</row>
    <row r="54" spans="1:36" ht="12.75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</row>
    <row r="55" spans="1:36" ht="12.75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</row>
    <row r="56" spans="1:36" ht="12.75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</row>
    <row r="57" spans="1:36" ht="12.75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</row>
    <row r="58" spans="1:36" ht="12.75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</row>
    <row r="59" spans="1:36" ht="12.75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</row>
    <row r="60" spans="1:36" ht="12.75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</row>
    <row r="61" spans="1:36" ht="12.75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</row>
    <row r="62" spans="1:36" ht="12.75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</row>
    <row r="63" spans="1:36" ht="12.75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</row>
    <row r="64" spans="1:36" ht="12.75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</row>
    <row r="65" spans="1:36" ht="12.75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</row>
    <row r="66" spans="1:36" ht="12.75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</row>
    <row r="67" spans="1:36" ht="12.75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</row>
    <row r="68" spans="1:36" ht="12.75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</row>
    <row r="69" spans="1:36" ht="12.75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</row>
    <row r="70" spans="1:36" ht="12.75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</row>
    <row r="71" spans="1:36" ht="12.75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</row>
    <row r="72" spans="1:36" ht="12.75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</row>
    <row r="73" spans="1:36" ht="12.75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</row>
    <row r="74" spans="1:36" ht="12.75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</row>
    <row r="75" spans="1:36" ht="12.75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</row>
    <row r="76" spans="1:36" ht="12.75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</row>
    <row r="77" spans="1:36" ht="12.75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3"/>
  <sheetViews>
    <sheetView zoomScaleNormal="100" workbookViewId="0">
      <selection activeCell="E1" sqref="E1:E1048576"/>
    </sheetView>
  </sheetViews>
  <sheetFormatPr defaultColWidth="9.140625" defaultRowHeight="12.75" x14ac:dyDescent="0.2"/>
  <cols>
    <col min="1" max="1" width="8.140625" style="10" customWidth="1"/>
    <col min="2" max="2" width="9" style="10" customWidth="1"/>
    <col min="3" max="3" width="7.5703125" style="10" customWidth="1"/>
    <col min="4" max="4" width="9.85546875" style="10" bestFit="1" customWidth="1"/>
    <col min="5" max="5" width="13.28515625" style="18" bestFit="1" customWidth="1"/>
    <col min="6" max="6" width="9.85546875" style="20" customWidth="1"/>
    <col min="7" max="7" width="14.5703125" style="18" customWidth="1"/>
    <col min="8" max="8" width="16.28515625" style="18" customWidth="1"/>
    <col min="9" max="9" width="14" style="27" customWidth="1"/>
    <col min="10" max="10" width="12.7109375" style="27" customWidth="1"/>
    <col min="11" max="11" width="8.42578125" style="24" customWidth="1"/>
    <col min="12" max="12" width="11.28515625" style="14" customWidth="1"/>
    <col min="13" max="14" width="11.28515625" style="10" customWidth="1"/>
    <col min="15" max="15" width="12.28515625" style="10" customWidth="1"/>
    <col min="16" max="19" width="14.5703125" style="10" bestFit="1" customWidth="1"/>
    <col min="20" max="20" width="12.28515625" style="10" bestFit="1" customWidth="1"/>
    <col min="21" max="21" width="11.85546875" style="1" customWidth="1"/>
    <col min="22" max="22" width="11.5703125" style="1" bestFit="1" customWidth="1"/>
    <col min="23" max="23" width="11.28515625" style="9" bestFit="1" customWidth="1"/>
    <col min="24" max="24" width="12" style="1" customWidth="1"/>
    <col min="25" max="25" width="12.5703125" style="1" customWidth="1"/>
    <col min="26" max="26" width="8.140625" style="1" customWidth="1"/>
    <col min="27" max="27" width="13" style="1" customWidth="1"/>
    <col min="28" max="29" width="81.140625" style="1" customWidth="1"/>
    <col min="30" max="30" width="12" style="1" customWidth="1"/>
    <col min="31" max="31" width="255.7109375" style="1" bestFit="1" customWidth="1"/>
    <col min="32" max="16384" width="9.140625" style="1"/>
  </cols>
  <sheetData>
    <row r="1" spans="1:23" x14ac:dyDescent="0.2">
      <c r="A1" s="12" t="s">
        <v>1</v>
      </c>
      <c r="B1" s="1" t="s">
        <v>49</v>
      </c>
      <c r="C1" s="1" t="s">
        <v>0</v>
      </c>
      <c r="D1" s="1" t="s">
        <v>50</v>
      </c>
      <c r="E1" s="17" t="s">
        <v>51</v>
      </c>
      <c r="F1" s="19" t="s">
        <v>52</v>
      </c>
      <c r="G1" s="17" t="s">
        <v>59</v>
      </c>
      <c r="H1" s="17" t="s">
        <v>120</v>
      </c>
      <c r="I1" s="26" t="s">
        <v>116</v>
      </c>
      <c r="J1" s="26" t="s">
        <v>117</v>
      </c>
      <c r="K1" s="22" t="s">
        <v>121</v>
      </c>
      <c r="L1"/>
      <c r="M1"/>
      <c r="N1"/>
      <c r="O1"/>
      <c r="P1"/>
      <c r="Q1"/>
      <c r="R1"/>
      <c r="S1"/>
      <c r="T1"/>
      <c r="W1" s="1"/>
    </row>
    <row r="2" spans="1:23" x14ac:dyDescent="0.2">
      <c r="A2" s="13"/>
      <c r="K2" s="23"/>
      <c r="L2"/>
      <c r="M2"/>
      <c r="N2"/>
      <c r="O2"/>
      <c r="P2"/>
      <c r="Q2"/>
      <c r="R2"/>
      <c r="S2"/>
      <c r="T2"/>
    </row>
    <row r="3" spans="1:23" x14ac:dyDescent="0.2">
      <c r="L3"/>
      <c r="M3"/>
      <c r="N3"/>
      <c r="O3"/>
      <c r="P3"/>
      <c r="Q3"/>
      <c r="R3"/>
      <c r="S3"/>
      <c r="T3"/>
    </row>
    <row r="4" spans="1:23" x14ac:dyDescent="0.2">
      <c r="L4"/>
      <c r="M4"/>
      <c r="N4"/>
      <c r="O4"/>
      <c r="P4"/>
      <c r="Q4"/>
      <c r="R4"/>
      <c r="S4"/>
      <c r="T4"/>
    </row>
    <row r="5" spans="1:23" x14ac:dyDescent="0.2">
      <c r="L5"/>
      <c r="M5"/>
      <c r="N5"/>
      <c r="O5"/>
      <c r="P5"/>
      <c r="Q5"/>
      <c r="R5"/>
      <c r="S5"/>
      <c r="T5"/>
    </row>
    <row r="6" spans="1:23" x14ac:dyDescent="0.2">
      <c r="P6"/>
      <c r="Q6"/>
      <c r="R6"/>
      <c r="S6"/>
    </row>
    <row r="7" spans="1:23" x14ac:dyDescent="0.2">
      <c r="P7"/>
      <c r="Q7"/>
      <c r="R7"/>
      <c r="S7"/>
    </row>
    <row r="8" spans="1:23" x14ac:dyDescent="0.2">
      <c r="P8"/>
      <c r="Q8"/>
      <c r="R8"/>
      <c r="S8"/>
    </row>
    <row r="9" spans="1:23" x14ac:dyDescent="0.2">
      <c r="P9"/>
      <c r="Q9"/>
      <c r="R9"/>
      <c r="S9"/>
    </row>
    <row r="10" spans="1:23" x14ac:dyDescent="0.2">
      <c r="P10"/>
      <c r="Q10"/>
      <c r="R10"/>
      <c r="S10"/>
    </row>
    <row r="11" spans="1:23" x14ac:dyDescent="0.2">
      <c r="P11"/>
      <c r="Q11"/>
      <c r="R11"/>
      <c r="S11"/>
    </row>
    <row r="12" spans="1:23" x14ac:dyDescent="0.2">
      <c r="P12"/>
      <c r="Q12"/>
      <c r="R12"/>
      <c r="S12"/>
    </row>
    <row r="13" spans="1:23" x14ac:dyDescent="0.2">
      <c r="P13"/>
      <c r="Q13"/>
      <c r="R13"/>
      <c r="S13"/>
    </row>
    <row r="14" spans="1:23" x14ac:dyDescent="0.2">
      <c r="P14"/>
      <c r="Q14"/>
      <c r="R14"/>
      <c r="S14"/>
    </row>
    <row r="15" spans="1:23" x14ac:dyDescent="0.2">
      <c r="P15"/>
      <c r="Q15"/>
      <c r="R15"/>
      <c r="S15"/>
    </row>
    <row r="16" spans="1:23" x14ac:dyDescent="0.2">
      <c r="P16"/>
      <c r="Q16"/>
      <c r="R16"/>
      <c r="S16"/>
    </row>
    <row r="17" spans="16:19" x14ac:dyDescent="0.2">
      <c r="P17"/>
      <c r="Q17"/>
      <c r="R17"/>
      <c r="S17"/>
    </row>
    <row r="18" spans="16:19" x14ac:dyDescent="0.2">
      <c r="P18"/>
      <c r="Q18"/>
      <c r="R18"/>
      <c r="S18"/>
    </row>
    <row r="19" spans="16:19" x14ac:dyDescent="0.2">
      <c r="P19"/>
      <c r="Q19"/>
      <c r="R19"/>
      <c r="S19"/>
    </row>
    <row r="20" spans="16:19" x14ac:dyDescent="0.2">
      <c r="P20"/>
      <c r="Q20"/>
      <c r="R20"/>
      <c r="S20"/>
    </row>
    <row r="21" spans="16:19" x14ac:dyDescent="0.2">
      <c r="P21"/>
      <c r="Q21"/>
      <c r="R21"/>
      <c r="S21"/>
    </row>
    <row r="22" spans="16:19" x14ac:dyDescent="0.2">
      <c r="P22"/>
      <c r="Q22"/>
      <c r="R22"/>
      <c r="S22"/>
    </row>
    <row r="23" spans="16:19" x14ac:dyDescent="0.2">
      <c r="P23"/>
      <c r="Q23"/>
      <c r="R23"/>
      <c r="S23"/>
    </row>
    <row r="24" spans="16:19" x14ac:dyDescent="0.2">
      <c r="P24"/>
      <c r="Q24"/>
      <c r="R24"/>
      <c r="S24"/>
    </row>
    <row r="25" spans="16:19" x14ac:dyDescent="0.2">
      <c r="P25"/>
      <c r="Q25"/>
      <c r="R25"/>
      <c r="S25"/>
    </row>
    <row r="26" spans="16:19" x14ac:dyDescent="0.2">
      <c r="P26"/>
      <c r="Q26"/>
      <c r="R26"/>
      <c r="S26"/>
    </row>
    <row r="27" spans="16:19" x14ac:dyDescent="0.2">
      <c r="P27"/>
      <c r="Q27"/>
      <c r="R27"/>
      <c r="S27"/>
    </row>
    <row r="28" spans="16:19" x14ac:dyDescent="0.2">
      <c r="P28"/>
      <c r="Q28"/>
      <c r="R28"/>
      <c r="S28"/>
    </row>
    <row r="29" spans="16:19" x14ac:dyDescent="0.2">
      <c r="P29"/>
      <c r="Q29"/>
      <c r="R29"/>
      <c r="S29"/>
    </row>
    <row r="30" spans="16:19" x14ac:dyDescent="0.2">
      <c r="P30"/>
      <c r="Q30"/>
      <c r="R30"/>
      <c r="S30"/>
    </row>
    <row r="31" spans="16:19" x14ac:dyDescent="0.2">
      <c r="P31"/>
      <c r="Q31"/>
      <c r="R31"/>
      <c r="S31"/>
    </row>
    <row r="32" spans="16:19" x14ac:dyDescent="0.2">
      <c r="P32"/>
      <c r="Q32"/>
      <c r="R32"/>
      <c r="S32"/>
    </row>
    <row r="33" spans="16:19" x14ac:dyDescent="0.2">
      <c r="P33"/>
      <c r="Q33"/>
      <c r="R33"/>
      <c r="S3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5"/>
  <sheetViews>
    <sheetView workbookViewId="0">
      <selection activeCell="C30" sqref="C30"/>
    </sheetView>
  </sheetViews>
  <sheetFormatPr defaultRowHeight="12.75" x14ac:dyDescent="0.2"/>
  <cols>
    <col min="1" max="1" width="24.5703125" bestFit="1" customWidth="1"/>
    <col min="2" max="2" width="25.5703125" bestFit="1" customWidth="1"/>
  </cols>
  <sheetData>
    <row r="1" spans="1:2" x14ac:dyDescent="0.2">
      <c r="A1" s="1" t="s">
        <v>32</v>
      </c>
      <c r="B1" s="1" t="s">
        <v>36</v>
      </c>
    </row>
    <row r="2" spans="1:2" x14ac:dyDescent="0.2">
      <c r="A2" s="1" t="s">
        <v>35</v>
      </c>
      <c r="B2" t="s">
        <v>3</v>
      </c>
    </row>
    <row r="3" spans="1:2" x14ac:dyDescent="0.2">
      <c r="A3" s="1" t="s">
        <v>25</v>
      </c>
      <c r="B3" s="1" t="s">
        <v>23</v>
      </c>
    </row>
    <row r="4" spans="1:2" x14ac:dyDescent="0.2">
      <c r="A4" s="1" t="s">
        <v>34</v>
      </c>
      <c r="B4" s="1" t="s">
        <v>30</v>
      </c>
    </row>
    <row r="5" spans="1:2" x14ac:dyDescent="0.2">
      <c r="A5" s="1" t="s">
        <v>37</v>
      </c>
      <c r="B5" s="1" t="s">
        <v>31</v>
      </c>
    </row>
    <row r="6" spans="1:2" x14ac:dyDescent="0.2">
      <c r="A6" s="1" t="s">
        <v>38</v>
      </c>
      <c r="B6" s="1" t="s">
        <v>39</v>
      </c>
    </row>
    <row r="7" spans="1:2" x14ac:dyDescent="0.2">
      <c r="A7" s="1" t="s">
        <v>44</v>
      </c>
      <c r="B7" t="s">
        <v>4</v>
      </c>
    </row>
    <row r="8" spans="1:2" x14ac:dyDescent="0.2">
      <c r="A8" s="1" t="s">
        <v>27</v>
      </c>
      <c r="B8" s="1" t="s">
        <v>28</v>
      </c>
    </row>
    <row r="9" spans="1:2" x14ac:dyDescent="0.2">
      <c r="A9" s="1" t="s">
        <v>40</v>
      </c>
      <c r="B9" s="1" t="s">
        <v>41</v>
      </c>
    </row>
    <row r="10" spans="1:2" x14ac:dyDescent="0.2">
      <c r="A10" s="1" t="s">
        <v>45</v>
      </c>
      <c r="B10" t="s">
        <v>2</v>
      </c>
    </row>
    <row r="11" spans="1:2" x14ac:dyDescent="0.2">
      <c r="A11" s="1" t="s">
        <v>24</v>
      </c>
      <c r="B11" s="1" t="s">
        <v>26</v>
      </c>
    </row>
    <row r="12" spans="1:2" x14ac:dyDescent="0.2">
      <c r="A12" s="1" t="s">
        <v>42</v>
      </c>
      <c r="B12" s="1" t="s">
        <v>43</v>
      </c>
    </row>
    <row r="13" spans="1:2" x14ac:dyDescent="0.2">
      <c r="A13" s="1" t="s">
        <v>46</v>
      </c>
      <c r="B13" t="s">
        <v>5</v>
      </c>
    </row>
    <row r="14" spans="1:2" x14ac:dyDescent="0.2">
      <c r="A14" s="1" t="s">
        <v>33</v>
      </c>
      <c r="B14" s="1" t="s">
        <v>29</v>
      </c>
    </row>
    <row r="15" spans="1:2" x14ac:dyDescent="0.2">
      <c r="A15" s="1" t="s">
        <v>47</v>
      </c>
      <c r="B15" s="1" t="s">
        <v>48</v>
      </c>
    </row>
  </sheetData>
  <sortState ref="A1:B15">
    <sortCondition ref="A1:A1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77"/>
  <sheetViews>
    <sheetView tabSelected="1" workbookViewId="0">
      <pane ySplit="3" topLeftCell="A4" activePane="bottomLeft" state="frozen"/>
      <selection pane="bottomLeft" activeCell="A2" sqref="A2"/>
    </sheetView>
  </sheetViews>
  <sheetFormatPr defaultRowHeight="12.75" x14ac:dyDescent="0.2"/>
  <cols>
    <col min="1" max="1" width="114.28515625" customWidth="1"/>
  </cols>
  <sheetData>
    <row r="1" spans="1:11" x14ac:dyDescent="0.2">
      <c r="A1" t="s">
        <v>8</v>
      </c>
    </row>
    <row r="2" spans="1:11" x14ac:dyDescent="0.2">
      <c r="A2" s="1" t="s">
        <v>122</v>
      </c>
    </row>
    <row r="3" spans="1:11" ht="199.5" customHeight="1" x14ac:dyDescent="0.2">
      <c r="A3" s="30" t="str">
        <f>CONCATENATE(A6,A7,A8,A9,A10,A11,A12,A13,A14,A15,A16,A17,A18,A19,A20,A21,A22,A23,A24,A25,A26,A27,A28,A29,A30,A31,A32,A33,A34,A35,A36,A37,A38,A39,A40,A41,A42,A43,A44,A45,A46,A47,A48,A49,A50,A51,A52,A53,A54,A55,A56,A57,A58,A59,A60,A61,A62,A63,A64,A65,A66,A67,A68,A69,A70,A71,A72,A73,A74,A75,A76,A77,A78)</f>
        <v>SELECT b.[RxNo], b.[CustomerNo] as 'CustID', b.[MOP], convert(varchar(16), case when b.[payor] = 1 then 'Primary' when b.[payor] = 2 then 'Secondary' else 'Other' end) as 'Priority', convert(Datetime, c.[submitted]) as 'Claim Date', b.[InvoiceNo] as 'Invoice', convert(Date, b.[billed]) as 'Invoice Date', b.[dispensedt] as 'Dispense Date', b.[billamt] as 'Amount Billed', b.[payamt] as 'Amount Paid', b.[facid] as 'FacID' FROM ( SELECT ba.[rxno], ba.[customerno], ba.[MOP], ba.[payor], ba.[invoiceno], ba.[billed], ba.[facid], ba.[pharmid], ba.[dispensedt], ba.[billamt], ba.[payamt] FROM [fwarchive].[dbo].[billing] ba WHERE ba.[rxno] = '0' UNION SELECT br.[rxno], br.[customerno], br.[MOP], br.[payor], br.[invoiceno], br.[billed], br.[facid], br.[pharmid], br.[dispensedt], br.[billamt], br.[payamt] FROM [fwdb].[rx].[Billing] br WHERE br.[rxno] = '0') b LEFT JOIN ( SELECT cp.[rxno], cp.[facid], cp.[pharmid], cp.[dispensedt], cp.[submitted], cp.[insid], cp.[rspstatus] FROM [fwdb].[pharm].[ecshistory] cp WHERE cp.rxno = '0' AND (cp.[rspstatus] = 'A' or cp.[rspstatus] = 'P') UNION SELECT ca.[rxno], ca.[facid], ca.[pharmid], ca.[dispensedt], ca.[submitted], ca.[insid], ca.[rspstatus] FROM [fwarchive].[dbo].[ecshistory] ca WHERE ca.rxno = '0' AND (ca.[rspstatus] = 'A' or ca.[rspstatus] = 'P')) c on c.rxno = b.rxno and c.facid = b.facid and c.pharmid = b.pharmid and c.dispensedt = b.dispensedt and c.insid = b.mop WHERE b.rxno = '0'  order by b.rxno desc, 'Claim Date' desc, 'Invoice' desc</v>
      </c>
      <c r="B3" s="31"/>
      <c r="C3" s="31"/>
      <c r="D3" s="31"/>
      <c r="E3" s="31"/>
      <c r="F3" s="31"/>
      <c r="G3" s="31"/>
      <c r="H3" s="31"/>
      <c r="I3" s="31"/>
      <c r="J3" s="31"/>
      <c r="K3" s="31"/>
    </row>
    <row r="6" spans="1:11" x14ac:dyDescent="0.2">
      <c r="A6" s="1" t="s">
        <v>53</v>
      </c>
    </row>
    <row r="7" spans="1:11" x14ac:dyDescent="0.2">
      <c r="A7" s="1" t="s">
        <v>109</v>
      </c>
    </row>
    <row r="8" spans="1:11" x14ac:dyDescent="0.2">
      <c r="A8" s="1" t="s">
        <v>54</v>
      </c>
    </row>
    <row r="9" spans="1:11" x14ac:dyDescent="0.2">
      <c r="A9" s="1" t="s">
        <v>57</v>
      </c>
    </row>
    <row r="10" spans="1:11" x14ac:dyDescent="0.2">
      <c r="A10" s="1" t="s">
        <v>63</v>
      </c>
      <c r="B10" s="1"/>
    </row>
    <row r="11" spans="1:11" x14ac:dyDescent="0.2">
      <c r="A11" s="1" t="s">
        <v>55</v>
      </c>
    </row>
    <row r="12" spans="1:11" x14ac:dyDescent="0.2">
      <c r="A12" s="1" t="s">
        <v>56</v>
      </c>
    </row>
    <row r="13" spans="1:11" x14ac:dyDescent="0.2">
      <c r="A13" s="1" t="s">
        <v>118</v>
      </c>
    </row>
    <row r="14" spans="1:11" x14ac:dyDescent="0.2">
      <c r="A14" s="1" t="s">
        <v>115</v>
      </c>
    </row>
    <row r="15" spans="1:11" x14ac:dyDescent="0.2">
      <c r="A15" s="1" t="s">
        <v>114</v>
      </c>
    </row>
    <row r="16" spans="1:11" x14ac:dyDescent="0.2">
      <c r="A16" s="1" t="s">
        <v>119</v>
      </c>
    </row>
    <row r="17" spans="1:4" x14ac:dyDescent="0.2">
      <c r="A17" s="1" t="s">
        <v>73</v>
      </c>
    </row>
    <row r="18" spans="1:4" x14ac:dyDescent="0.2">
      <c r="A18" s="1" t="s">
        <v>65</v>
      </c>
    </row>
    <row r="19" spans="1:4" x14ac:dyDescent="0.2">
      <c r="A19" s="1" t="s">
        <v>66</v>
      </c>
    </row>
    <row r="20" spans="1:4" x14ac:dyDescent="0.2">
      <c r="A20" s="1" t="s">
        <v>67</v>
      </c>
    </row>
    <row r="21" spans="1:4" x14ac:dyDescent="0.2">
      <c r="A21" s="1" t="s">
        <v>68</v>
      </c>
    </row>
    <row r="22" spans="1:4" x14ac:dyDescent="0.2">
      <c r="A22" s="1" t="s">
        <v>69</v>
      </c>
    </row>
    <row r="23" spans="1:4" x14ac:dyDescent="0.2">
      <c r="A23" s="1" t="s">
        <v>103</v>
      </c>
    </row>
    <row r="24" spans="1:4" x14ac:dyDescent="0.2">
      <c r="A24" s="1" t="s">
        <v>104</v>
      </c>
    </row>
    <row r="25" spans="1:4" x14ac:dyDescent="0.2">
      <c r="A25" s="1" t="s">
        <v>105</v>
      </c>
    </row>
    <row r="26" spans="1:4" x14ac:dyDescent="0.2">
      <c r="A26" s="1" t="s">
        <v>113</v>
      </c>
    </row>
    <row r="27" spans="1:4" x14ac:dyDescent="0.2">
      <c r="A27" s="1" t="s">
        <v>112</v>
      </c>
    </row>
    <row r="28" spans="1:4" x14ac:dyDescent="0.2">
      <c r="A28" s="1" t="s">
        <v>70</v>
      </c>
    </row>
    <row r="29" spans="1:4" x14ac:dyDescent="0.2">
      <c r="A29" s="1" t="s">
        <v>71</v>
      </c>
    </row>
    <row r="30" spans="1:4" x14ac:dyDescent="0.2">
      <c r="A30" s="11">
        <f>Inputs!B5</f>
        <v>0</v>
      </c>
    </row>
    <row r="31" spans="1:4" x14ac:dyDescent="0.2">
      <c r="A31" s="15" t="s">
        <v>72</v>
      </c>
    </row>
    <row r="32" spans="1:4" x14ac:dyDescent="0.2">
      <c r="A32" s="1" t="s">
        <v>61</v>
      </c>
      <c r="D32" s="1"/>
    </row>
    <row r="33" spans="1:4" x14ac:dyDescent="0.2">
      <c r="A33" s="1" t="s">
        <v>81</v>
      </c>
      <c r="D33" s="1"/>
    </row>
    <row r="34" spans="1:4" x14ac:dyDescent="0.2">
      <c r="A34" s="1" t="s">
        <v>74</v>
      </c>
      <c r="D34" s="1"/>
    </row>
    <row r="35" spans="1:4" x14ac:dyDescent="0.2">
      <c r="A35" s="1" t="s">
        <v>75</v>
      </c>
      <c r="D35" s="1"/>
    </row>
    <row r="36" spans="1:4" x14ac:dyDescent="0.2">
      <c r="A36" s="1" t="s">
        <v>76</v>
      </c>
      <c r="D36" s="1"/>
    </row>
    <row r="37" spans="1:4" x14ac:dyDescent="0.2">
      <c r="A37" s="1" t="s">
        <v>77</v>
      </c>
      <c r="D37" s="1"/>
    </row>
    <row r="38" spans="1:4" x14ac:dyDescent="0.2">
      <c r="A38" s="1" t="s">
        <v>78</v>
      </c>
      <c r="D38" s="1"/>
    </row>
    <row r="39" spans="1:4" x14ac:dyDescent="0.2">
      <c r="A39" s="1" t="s">
        <v>106</v>
      </c>
      <c r="D39" s="1"/>
    </row>
    <row r="40" spans="1:4" x14ac:dyDescent="0.2">
      <c r="A40" s="1" t="s">
        <v>107</v>
      </c>
      <c r="D40" s="1"/>
    </row>
    <row r="41" spans="1:4" x14ac:dyDescent="0.2">
      <c r="A41" s="1" t="s">
        <v>108</v>
      </c>
      <c r="D41" s="1"/>
    </row>
    <row r="42" spans="1:4" x14ac:dyDescent="0.2">
      <c r="A42" s="1" t="s">
        <v>110</v>
      </c>
      <c r="D42" s="1"/>
    </row>
    <row r="43" spans="1:4" x14ac:dyDescent="0.2">
      <c r="A43" s="1" t="s">
        <v>111</v>
      </c>
      <c r="D43" s="1"/>
    </row>
    <row r="44" spans="1:4" x14ac:dyDescent="0.2">
      <c r="A44" s="1" t="s">
        <v>82</v>
      </c>
      <c r="D44" s="1"/>
    </row>
    <row r="45" spans="1:4" x14ac:dyDescent="0.2">
      <c r="A45" s="1" t="s">
        <v>79</v>
      </c>
      <c r="D45" s="1"/>
    </row>
    <row r="46" spans="1:4" x14ac:dyDescent="0.2">
      <c r="A46" s="11">
        <f>Inputs!B5</f>
        <v>0</v>
      </c>
      <c r="D46" s="1"/>
    </row>
    <row r="47" spans="1:4" x14ac:dyDescent="0.2">
      <c r="A47" s="15" t="s">
        <v>80</v>
      </c>
      <c r="D47" s="1"/>
    </row>
    <row r="48" spans="1:4" x14ac:dyDescent="0.2">
      <c r="A48" s="1" t="s">
        <v>60</v>
      </c>
      <c r="D48" s="11"/>
    </row>
    <row r="49" spans="1:4" x14ac:dyDescent="0.2">
      <c r="A49" s="1" t="s">
        <v>83</v>
      </c>
      <c r="D49" s="15"/>
    </row>
    <row r="50" spans="1:4" x14ac:dyDescent="0.2">
      <c r="A50" s="1" t="s">
        <v>84</v>
      </c>
    </row>
    <row r="51" spans="1:4" x14ac:dyDescent="0.2">
      <c r="A51" s="1" t="s">
        <v>85</v>
      </c>
    </row>
    <row r="52" spans="1:4" x14ac:dyDescent="0.2">
      <c r="A52" s="1" t="s">
        <v>86</v>
      </c>
    </row>
    <row r="53" spans="1:4" x14ac:dyDescent="0.2">
      <c r="A53" s="1" t="s">
        <v>87</v>
      </c>
    </row>
    <row r="54" spans="1:4" x14ac:dyDescent="0.2">
      <c r="A54" s="1" t="s">
        <v>88</v>
      </c>
    </row>
    <row r="55" spans="1:4" x14ac:dyDescent="0.2">
      <c r="A55" s="1" t="s">
        <v>89</v>
      </c>
    </row>
    <row r="56" spans="1:4" x14ac:dyDescent="0.2">
      <c r="A56" s="1" t="s">
        <v>90</v>
      </c>
    </row>
    <row r="57" spans="1:4" x14ac:dyDescent="0.2">
      <c r="A57" s="1" t="s">
        <v>91</v>
      </c>
    </row>
    <row r="58" spans="1:4" x14ac:dyDescent="0.2">
      <c r="A58" s="11">
        <f>Inputs!B5</f>
        <v>0</v>
      </c>
    </row>
    <row r="59" spans="1:4" x14ac:dyDescent="0.2">
      <c r="A59" s="15" t="s">
        <v>92</v>
      </c>
    </row>
    <row r="60" spans="1:4" x14ac:dyDescent="0.2">
      <c r="A60" s="1" t="s">
        <v>61</v>
      </c>
    </row>
    <row r="61" spans="1:4" x14ac:dyDescent="0.2">
      <c r="A61" s="1" t="s">
        <v>93</v>
      </c>
    </row>
    <row r="62" spans="1:4" x14ac:dyDescent="0.2">
      <c r="A62" s="1" t="s">
        <v>94</v>
      </c>
    </row>
    <row r="63" spans="1:4" x14ac:dyDescent="0.2">
      <c r="A63" s="1" t="s">
        <v>95</v>
      </c>
    </row>
    <row r="64" spans="1:4" x14ac:dyDescent="0.2">
      <c r="A64" s="1" t="s">
        <v>96</v>
      </c>
    </row>
    <row r="65" spans="1:1" x14ac:dyDescent="0.2">
      <c r="A65" s="1" t="s">
        <v>97</v>
      </c>
    </row>
    <row r="66" spans="1:1" x14ac:dyDescent="0.2">
      <c r="A66" s="1" t="s">
        <v>98</v>
      </c>
    </row>
    <row r="67" spans="1:1" x14ac:dyDescent="0.2">
      <c r="A67" s="1" t="s">
        <v>99</v>
      </c>
    </row>
    <row r="68" spans="1:1" x14ac:dyDescent="0.2">
      <c r="A68" s="1" t="s">
        <v>100</v>
      </c>
    </row>
    <row r="69" spans="1:1" x14ac:dyDescent="0.2">
      <c r="A69" s="1" t="s">
        <v>101</v>
      </c>
    </row>
    <row r="70" spans="1:1" x14ac:dyDescent="0.2">
      <c r="A70" s="11">
        <f>Inputs!B5</f>
        <v>0</v>
      </c>
    </row>
    <row r="71" spans="1:1" x14ac:dyDescent="0.2">
      <c r="A71" s="15" t="s">
        <v>102</v>
      </c>
    </row>
    <row r="72" spans="1:1" x14ac:dyDescent="0.2">
      <c r="A72" s="15" t="s">
        <v>64</v>
      </c>
    </row>
    <row r="73" spans="1:1" x14ac:dyDescent="0.2">
      <c r="A73" s="1" t="s">
        <v>58</v>
      </c>
    </row>
    <row r="74" spans="1:1" x14ac:dyDescent="0.2">
      <c r="A74" s="11">
        <f>Inputs!B5</f>
        <v>0</v>
      </c>
    </row>
    <row r="75" spans="1:1" x14ac:dyDescent="0.2">
      <c r="A75" s="6" t="s">
        <v>72</v>
      </c>
    </row>
    <row r="76" spans="1:1" x14ac:dyDescent="0.2">
      <c r="A76" s="6"/>
    </row>
    <row r="77" spans="1:1" x14ac:dyDescent="0.2">
      <c r="A77" s="1" t="s">
        <v>62</v>
      </c>
    </row>
  </sheetData>
  <mergeCells count="1">
    <mergeCell ref="A3:K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B10"/>
  <sheetViews>
    <sheetView workbookViewId="0">
      <selection activeCell="G24" sqref="G24"/>
    </sheetView>
  </sheetViews>
  <sheetFormatPr defaultRowHeight="12.75" x14ac:dyDescent="0.2"/>
  <sheetData>
    <row r="1" spans="1:2" x14ac:dyDescent="0.2">
      <c r="A1" s="1" t="s">
        <v>17</v>
      </c>
      <c r="B1" s="1" t="s">
        <v>18</v>
      </c>
    </row>
    <row r="2" spans="1:2" x14ac:dyDescent="0.2">
      <c r="A2" t="s">
        <v>9</v>
      </c>
      <c r="B2" s="1" t="s">
        <v>19</v>
      </c>
    </row>
    <row r="3" spans="1:2" x14ac:dyDescent="0.2">
      <c r="A3" t="s">
        <v>10</v>
      </c>
      <c r="B3" s="1" t="s">
        <v>19</v>
      </c>
    </row>
    <row r="4" spans="1:2" x14ac:dyDescent="0.2">
      <c r="A4" t="s">
        <v>11</v>
      </c>
      <c r="B4" s="1" t="s">
        <v>19</v>
      </c>
    </row>
    <row r="5" spans="1:2" x14ac:dyDescent="0.2">
      <c r="A5" t="s">
        <v>12</v>
      </c>
      <c r="B5" s="1" t="s">
        <v>20</v>
      </c>
    </row>
    <row r="6" spans="1:2" x14ac:dyDescent="0.2">
      <c r="A6" s="1" t="s">
        <v>21</v>
      </c>
      <c r="B6" s="1" t="s">
        <v>20</v>
      </c>
    </row>
    <row r="7" spans="1:2" x14ac:dyDescent="0.2">
      <c r="A7" t="s">
        <v>14</v>
      </c>
      <c r="B7" s="1" t="s">
        <v>19</v>
      </c>
    </row>
    <row r="8" spans="1:2" x14ac:dyDescent="0.2">
      <c r="A8" t="s">
        <v>16</v>
      </c>
      <c r="B8" s="1" t="s">
        <v>19</v>
      </c>
    </row>
    <row r="9" spans="1:2" x14ac:dyDescent="0.2">
      <c r="A9" t="s">
        <v>13</v>
      </c>
      <c r="B9" s="1" t="s">
        <v>19</v>
      </c>
    </row>
    <row r="10" spans="1:2" x14ac:dyDescent="0.2">
      <c r="A10" t="s">
        <v>15</v>
      </c>
      <c r="B10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Inputs</vt:lpstr>
      <vt:lpstr>Pivot Summary</vt:lpstr>
      <vt:lpstr>Output</vt:lpstr>
      <vt:lpstr>Databases</vt:lpstr>
      <vt:lpstr>Query</vt:lpstr>
      <vt:lpstr>MedA-MgdCare Lookup</vt:lpstr>
      <vt:lpstr>DatabaseTable</vt:lpstr>
      <vt:lpstr>QueryCommand</vt:lpstr>
      <vt:lpstr>ServerRef</vt:lpstr>
    </vt:vector>
  </TitlesOfParts>
  <Company>Advanced Pharmacy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nparker</dc:creator>
  <cp:lastModifiedBy>Donnie Gray</cp:lastModifiedBy>
  <cp:lastPrinted>2012-11-21T18:30:25Z</cp:lastPrinted>
  <dcterms:created xsi:type="dcterms:W3CDTF">2007-11-06T23:33:45Z</dcterms:created>
  <dcterms:modified xsi:type="dcterms:W3CDTF">2024-07-22T17:55:12Z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